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externalReferences>
    <externalReference xmlns:r="http://schemas.openxmlformats.org/officeDocument/2006/relationships" r:id="rId4"/>
  </externalReferences>
  <definedNames>
    <definedName name="Bug確認">[1]OTHER!$D$2:$D$10</definedName>
    <definedName name="チェックGメンバ">[1]OTHER!$A$2:$A$12</definedName>
    <definedName name="リーダ">[1]OTHER!$A$2:$A$11</definedName>
    <definedName name="処置">[1]OTHER!$E$2:$E$12</definedName>
    <definedName name="機能">[1]OTHER!$I$2:$I$41</definedName>
    <definedName name="類型">[1]OTHER!$C$2:$C$5</definedName>
    <definedName name="評価観点">[1]OTHER!$J$2:$J$20</definedName>
    <definedName name="問題範囲区分">[1]OTHER!$B$2:$B$6</definedName>
    <definedName name="問題状態">[1]OTHER!$G$2:$G$11</definedName>
    <definedName name="影響度">[1]OTHER!$H$2:$H$6</definedName>
    <definedName name="再現頻度">[1]OTHER!$F$2:$F$8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11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SimSun"/>
      <charset val="134"/>
      <family val="3"/>
      <sz val="9"/>
    </font>
    <font>
      <name val="SimSun"/>
      <charset val="134"/>
      <family val="3"/>
      <sz val="10"/>
    </font>
    <font>
      <name val="SimSun"/>
      <charset val="134"/>
      <family val="3"/>
      <color theme="1"/>
      <sz val="11"/>
    </font>
    <font>
      <name val="SimSun"/>
      <charset val="134"/>
      <family val="3"/>
      <b val="1"/>
      <sz val="12"/>
    </font>
    <font>
      <name val="SimSun"/>
      <charset val="134"/>
      <family val="3"/>
      <b val="1"/>
      <color indexed="12"/>
      <sz val="10"/>
    </font>
    <font>
      <name val="SimSun"/>
      <charset val="134"/>
      <family val="3"/>
      <b val="1"/>
      <color indexed="12"/>
      <sz val="12"/>
    </font>
    <font>
      <name val="SimSun"/>
      <charset val="134"/>
      <family val="3"/>
      <b val="1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0" borderId="6" applyAlignment="1" applyProtection="1" pivotButton="0" quotePrefix="0" xfId="0">
      <alignment vertical="top" wrapText="1"/>
      <protection locked="0" hidden="0"/>
    </xf>
    <xf numFmtId="0" fontId="5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49" fontId="4" fillId="2" borderId="5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164" fontId="4" fillId="3" borderId="5" applyAlignment="1" pivotButton="0" quotePrefix="0" xfId="0">
      <alignment horizontal="center" vertical="center" wrapText="1"/>
    </xf>
    <xf numFmtId="164" fontId="4" fillId="2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49" fontId="3" fillId="0" borderId="1" applyAlignment="1" applyProtection="1" pivotButton="0" quotePrefix="0" xfId="0">
      <alignment horizontal="center" vertical="top" wrapText="1"/>
      <protection locked="0" hidden="0"/>
    </xf>
    <xf numFmtId="164" fontId="3" fillId="0" borderId="1" applyAlignment="1" applyProtection="1" pivotButton="0" quotePrefix="0" xfId="0">
      <alignment vertical="top" wrapText="1"/>
      <protection locked="0" hidden="0"/>
    </xf>
    <xf numFmtId="0" fontId="3" fillId="0" borderId="1" applyAlignment="1" applyProtection="1" pivotButton="0" quotePrefix="0" xfId="0">
      <alignment vertical="top" wrapText="1"/>
      <protection locked="0" hidden="0"/>
    </xf>
    <xf numFmtId="0" fontId="3" fillId="4" borderId="1" applyAlignment="1" applyProtection="1" pivotButton="0" quotePrefix="0" xfId="0">
      <alignment vertical="top" wrapText="1"/>
      <protection locked="0" hidden="0"/>
    </xf>
    <xf numFmtId="164" fontId="3" fillId="4" borderId="1" applyAlignment="1" applyProtection="1" pivotButton="0" quotePrefix="0" xfId="0">
      <alignment vertical="top" wrapText="1"/>
      <protection locked="0" hidden="0"/>
    </xf>
    <xf numFmtId="0" fontId="4" fillId="0" borderId="1" applyAlignment="1" pivotButton="0" quotePrefix="0" xfId="0">
      <alignment horizontal="left" wrapText="1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164" fontId="4" fillId="3" borderId="5" applyAlignment="1" pivotButton="0" quotePrefix="0" xfId="0">
      <alignment horizontal="center" vertical="center" wrapText="1"/>
    </xf>
    <xf numFmtId="164" fontId="4" fillId="2" borderId="5" applyAlignment="1" pivotButton="0" quotePrefix="0" xfId="0">
      <alignment horizontal="center" vertical="center" wrapText="1"/>
    </xf>
    <xf numFmtId="49" fontId="10" fillId="0" borderId="9" applyAlignment="1" applyProtection="1" pivotButton="0" quotePrefix="0" xfId="0">
      <alignment horizontal="left" vertical="center" wrapText="1"/>
      <protection locked="0" hidden="0"/>
    </xf>
    <xf numFmtId="164" fontId="10" fillId="0" borderId="9" applyAlignment="1" applyProtection="1" pivotButton="0" quotePrefix="0" xfId="0">
      <alignment horizontal="left" vertical="center" wrapText="1"/>
      <protection locked="0" hidden="0"/>
    </xf>
    <xf numFmtId="0" fontId="10" fillId="0" borderId="9" applyAlignment="1" applyProtection="1" pivotButton="0" quotePrefix="0" xfId="0">
      <alignment horizontal="left" vertical="center" wrapText="1"/>
      <protection locked="0" hidden="0"/>
    </xf>
    <xf numFmtId="0" fontId="10" fillId="4" borderId="9" applyAlignment="1" applyProtection="1" pivotButton="0" quotePrefix="0" xfId="0">
      <alignment horizontal="left" vertical="center" wrapText="1"/>
      <protection locked="0" hidden="0"/>
    </xf>
    <xf numFmtId="164" fontId="10" fillId="4" borderId="9" applyAlignment="1" applyProtection="1" pivotButton="0" quotePrefix="0" xfId="0">
      <alignment horizontal="left" vertical="center" wrapText="1"/>
      <protection locked="0" hidden="0"/>
    </xf>
    <xf numFmtId="49" fontId="10" fillId="0" borderId="9" applyAlignment="1" applyProtection="1" pivotButton="0" quotePrefix="0" xfId="0">
      <alignment horizontal="center" vertical="center" wrapText="1"/>
      <protection locked="0" hidden="0"/>
    </xf>
    <xf numFmtId="49" fontId="10" fillId="0" borderId="9" applyAlignment="1" applyProtection="1" pivotButton="0" quotePrefix="0" xfId="0">
      <alignment horizontal="center" vertical="top" wrapText="1"/>
      <protection locked="0" hidden="0"/>
    </xf>
    <xf numFmtId="164" fontId="10" fillId="0" borderId="9" applyAlignment="1" applyProtection="1" pivotButton="0" quotePrefix="0" xfId="0">
      <alignment vertical="top" wrapText="1"/>
      <protection locked="0" hidden="0"/>
    </xf>
    <xf numFmtId="0" fontId="10" fillId="0" borderId="9" applyAlignment="1" applyProtection="1" pivotButton="0" quotePrefix="0" xfId="0">
      <alignment vertical="top" wrapText="1"/>
      <protection locked="0" hidden="0"/>
    </xf>
    <xf numFmtId="0" fontId="10" fillId="4" borderId="9" applyAlignment="1" applyProtection="1" pivotButton="0" quotePrefix="0" xfId="0">
      <alignment vertical="top" wrapText="1"/>
      <protection locked="0" hidden="0"/>
    </xf>
    <xf numFmtId="164" fontId="10" fillId="4" borderId="9" applyAlignment="1" applyProtection="1" pivotButton="0" quotePrefix="0" xfId="0">
      <alignment vertical="top" wrapText="1"/>
      <protection locked="0" hidden="0"/>
    </xf>
  </cellXfs>
  <cellStyles count="1">
    <cellStyle name="常规" xfId="0" builtinId="0"/>
  </cellStyles>
  <dxfs count="8"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ndense val="0"/>
        <color indexed="10"/>
        <extend val="0"/>
      </font>
      <fill>
        <patternFill>
          <bgColor indexed="6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AAA&#38283;&#30330;/AAA/000Test%20Group/&#35413;&#20385;&#38306;&#36899;/ism/V6.1Web/&#35413;&#20385;G/01-QR-B11-05_J_&#38556;&#23475;&#19968;&#35239;&#34920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データ初期化"/>
      <sheetName val="進捗状況"/>
      <sheetName val="障害一覧表"/>
      <sheetName val="統計結果"/>
      <sheetName val="BUG分析"/>
      <sheetName val="BUG・改善意見分析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孫夕凌</v>
          </cell>
          <cell r="B2" t="str">
            <v>本グループ(新規)</v>
          </cell>
          <cell r="C2" t="str">
            <v>新規バグ</v>
          </cell>
          <cell r="D2" t="str">
            <v>バグ</v>
          </cell>
          <cell r="E2" t="str">
            <v>プログラム修正</v>
          </cell>
          <cell r="F2" t="str">
            <v>毎回</v>
          </cell>
          <cell r="G2" t="str">
            <v>評価側内部DR判定中</v>
          </cell>
          <cell r="H2" t="str">
            <v>高</v>
          </cell>
          <cell r="I2" t="str">
            <v>iSCSI</v>
          </cell>
          <cell r="J2" t="str">
            <v>基本機能</v>
          </cell>
        </row>
        <row r="3">
          <cell r="A3" t="str">
            <v>趙偉</v>
          </cell>
          <cell r="B3" t="str">
            <v>本グループ(既存)</v>
          </cell>
          <cell r="C3" t="str">
            <v>オリジナルバグ</v>
          </cell>
          <cell r="D3" t="str">
            <v>制限事項漏れ</v>
          </cell>
          <cell r="E3" t="str">
            <v>仕様書修正</v>
          </cell>
          <cell r="F3" t="str">
            <v>頻繁に</v>
          </cell>
          <cell r="G3" t="str">
            <v>開発側バグ判定待ち</v>
          </cell>
          <cell r="H3" t="str">
            <v>中</v>
          </cell>
          <cell r="I3" t="str">
            <v>シンプロビジョニング</v>
          </cell>
          <cell r="J3" t="str">
            <v>データフォーマット</v>
          </cell>
        </row>
        <row r="4">
          <cell r="A4" t="str">
            <v>劉倩</v>
          </cell>
          <cell r="B4" t="str">
            <v>他グループ（NEC-AS内）</v>
          </cell>
          <cell r="C4" t="str">
            <v>デグレードバグ</v>
          </cell>
          <cell r="D4" t="str">
            <v>改善意見</v>
          </cell>
          <cell r="E4" t="str">
            <v>説明書修正</v>
          </cell>
          <cell r="F4" t="str">
            <v>稀に</v>
          </cell>
          <cell r="G4" t="str">
            <v>開発側バグ判定中</v>
          </cell>
          <cell r="H4" t="str">
            <v>低</v>
          </cell>
          <cell r="I4" t="str">
            <v>機能改善</v>
          </cell>
          <cell r="J4" t="str">
            <v>大量データ</v>
          </cell>
        </row>
        <row r="5">
          <cell r="A5" t="str">
            <v>王文娟</v>
          </cell>
          <cell r="B5" t="str">
            <v>他グループ（NEC-AS外）</v>
          </cell>
          <cell r="C5" t="str">
            <v>既存バグ</v>
          </cell>
          <cell r="D5" t="str">
            <v>仕様通り</v>
          </cell>
          <cell r="E5" t="str">
            <v>調査継続</v>
          </cell>
          <cell r="F5" t="str">
            <v>1回のみ</v>
          </cell>
          <cell r="G5" t="str">
            <v>開発側バグ判定済み</v>
          </cell>
          <cell r="I5" t="str">
            <v>その他</v>
          </cell>
          <cell r="J5" t="str">
            <v>権限</v>
          </cell>
        </row>
        <row r="6">
          <cell r="A6" t="str">
            <v>王文堅</v>
          </cell>
          <cell r="D6" t="str">
            <v>仕様変更</v>
          </cell>
          <cell r="E6" t="str">
            <v>再現待ち</v>
          </cell>
          <cell r="G6" t="str">
            <v>確認評価待ち</v>
          </cell>
          <cell r="I6" t="str"/>
          <cell r="J6" t="str">
            <v>限界値</v>
          </cell>
        </row>
        <row r="7">
          <cell r="A7" t="str">
            <v>李莉</v>
          </cell>
          <cell r="D7" t="str">
            <v>仕様書不正</v>
          </cell>
          <cell r="E7" t="str">
            <v>次期改善</v>
          </cell>
          <cell r="G7" t="str">
            <v>確認評価実行中</v>
          </cell>
          <cell r="I7" t="str"/>
          <cell r="J7" t="str">
            <v>同時アクセス</v>
          </cell>
        </row>
        <row r="8">
          <cell r="A8" t="str">
            <v>張良新</v>
          </cell>
          <cell r="D8" t="str">
            <v>利用者ミス</v>
          </cell>
          <cell r="E8" t="str">
            <v>NECに確認</v>
          </cell>
          <cell r="G8" t="str">
            <v>完了(確認評価済み)</v>
          </cell>
          <cell r="I8" t="str"/>
          <cell r="J8" t="str">
            <v>ファイル関連</v>
          </cell>
        </row>
        <row r="9">
          <cell r="A9" t="str">
            <v>張灯</v>
          </cell>
          <cell r="D9" t="str">
            <v>重複問題</v>
          </cell>
          <cell r="E9" t="str">
            <v>他Gに依頼</v>
          </cell>
          <cell r="G9" t="str">
            <v>完了(確認評価不要)</v>
          </cell>
          <cell r="I9" t="str"/>
          <cell r="J9" t="str">
            <v>メッセージ</v>
          </cell>
        </row>
        <row r="10">
          <cell r="D10" t="str">
            <v>SI物件ミス</v>
          </cell>
          <cell r="E10" t="str">
            <v>なし</v>
          </cell>
          <cell r="G10" t="str">
            <v>廃棄</v>
          </cell>
          <cell r="I10" t="str"/>
          <cell r="J10" t="str">
            <v>組み合わせ</v>
          </cell>
        </row>
        <row r="11">
          <cell r="I11" t="str"/>
          <cell r="J11" t="str">
            <v>検索ソート</v>
          </cell>
        </row>
        <row r="12">
          <cell r="I12" t="str"/>
          <cell r="J12" t="str">
            <v>特殊文字</v>
          </cell>
        </row>
        <row r="13">
          <cell r="I13" t="str"/>
          <cell r="J13" t="str">
            <v>削除関係</v>
          </cell>
        </row>
        <row r="14">
          <cell r="I14" t="str"/>
          <cell r="J14" t="str">
            <v>データ計算</v>
          </cell>
        </row>
        <row r="15">
          <cell r="I15" t="str"/>
          <cell r="J15" t="str">
            <v>ヘルプ・マニュアル</v>
          </cell>
        </row>
        <row r="16">
          <cell r="I16" t="str"/>
          <cell r="J16" t="str">
            <v>ページ制御</v>
          </cell>
        </row>
        <row r="17">
          <cell r="I17" t="str"/>
          <cell r="J17" t="str">
            <v>ログ</v>
          </cell>
        </row>
        <row r="18">
          <cell r="I18" t="str"/>
          <cell r="J18" t="str">
            <v>キーボート操作</v>
          </cell>
        </row>
        <row r="19">
          <cell r="I19" t="str"/>
        </row>
        <row r="20">
          <cell r="I20" t="str"/>
        </row>
        <row r="21">
          <cell r="I21" t="str"/>
        </row>
        <row r="22">
          <cell r="I22" t="str"/>
        </row>
        <row r="23">
          <cell r="I23" t="str"/>
        </row>
        <row r="24">
          <cell r="I24" t="str"/>
        </row>
        <row r="25">
          <cell r="I25" t="str"/>
        </row>
        <row r="26">
          <cell r="I26" t="str"/>
        </row>
        <row r="27">
          <cell r="I27" t="str"/>
        </row>
        <row r="28">
          <cell r="I28" t="str"/>
        </row>
        <row r="29">
          <cell r="I29" t="str"/>
        </row>
        <row r="30">
          <cell r="I30" t="str"/>
        </row>
        <row r="31">
          <cell r="I31" t="str"/>
        </row>
        <row r="32">
          <cell r="I32" t="str"/>
        </row>
        <row r="33">
          <cell r="I33" t="str"/>
        </row>
        <row r="34">
          <cell r="I34" t="str"/>
        </row>
        <row r="35">
          <cell r="I35" t="str"/>
        </row>
        <row r="36">
          <cell r="I36" t="str"/>
        </row>
        <row r="37">
          <cell r="I37" t="str"/>
        </row>
        <row r="38">
          <cell r="I38" t="str"/>
        </row>
        <row r="39">
          <cell r="I39" t="str"/>
        </row>
        <row r="40">
          <cell r="I40" t="str"/>
        </row>
        <row r="41">
          <cell r="I41" t="str"/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tabSelected="1" workbookViewId="0">
      <selection activeCell="C10" sqref="C10"/>
    </sheetView>
  </sheetViews>
  <sheetFormatPr baseColWidth="8" defaultColWidth="9" defaultRowHeight="14"/>
  <cols>
    <col width="5.7265625" customWidth="1" style="2" min="1" max="2"/>
    <col width="9" customWidth="1" style="2" min="3" max="16384"/>
  </cols>
  <sheetData>
    <row r="1">
      <c r="A1" s="18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3" t="n"/>
    </row>
    <row r="2" ht="15" customHeight="1">
      <c r="A2" s="19" t="inlineStr">
        <is>
          <t>bug一览表</t>
        </is>
      </c>
      <c r="B2" s="32" t="n"/>
      <c r="C2" s="32" t="n"/>
      <c r="D2" s="32" t="n"/>
      <c r="E2" s="21" t="inlineStr">
        <is>
          <t xml:space="preserve"> 问题总数：</t>
        </is>
      </c>
      <c r="F2" s="32" t="n"/>
      <c r="G2" s="3">
        <f>COUNTA(B6:B12)</f>
        <v/>
      </c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5" t="n"/>
    </row>
    <row r="3" ht="77.25" customHeight="1">
      <c r="A3" s="34" t="inlineStr">
        <is>
          <t>説明：
 1. 如果是开发人员和测试人员同时发现的同一件bug，作为一件bug登记。
 2. 下表中，红色部分，必须要记入。
 3. 测试期间，测试组应该每天提出bug表，开发组应当天或者隔天进行回复。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3" t="n"/>
    </row>
    <row r="4" ht="15" customHeight="1">
      <c r="A4" s="26" t="inlineStr">
        <is>
          <t>测试G记入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5" t="inlineStr">
        <is>
          <t>开发G记入</t>
        </is>
      </c>
      <c r="M4" s="32" t="n"/>
      <c r="N4" s="32" t="n"/>
      <c r="O4" s="32" t="n"/>
      <c r="P4" s="33" t="n"/>
      <c r="Q4" s="26" t="inlineStr">
        <is>
          <t>测试G记入</t>
        </is>
      </c>
      <c r="R4" s="32" t="n"/>
      <c r="S4" s="6" t="n"/>
    </row>
    <row r="5" ht="52" customHeight="1">
      <c r="A5" s="7" t="inlineStr">
        <is>
          <t>序号</t>
        </is>
      </c>
      <c r="B5" s="7" t="inlineStr">
        <is>
          <t>bug
状态</t>
        </is>
      </c>
      <c r="C5" s="8" t="inlineStr">
        <is>
          <t>报告者</t>
        </is>
      </c>
      <c r="D5" s="8" t="inlineStr">
        <is>
          <t>报告日</t>
        </is>
      </c>
      <c r="E5" s="8" t="inlineStr">
        <is>
          <t>发生模块</t>
        </is>
      </c>
      <c r="F5" s="8" t="inlineStr">
        <is>
          <t>重要度</t>
        </is>
      </c>
      <c r="G5" s="8" t="inlineStr">
        <is>
          <t>问题点</t>
        </is>
      </c>
      <c r="H5" s="8" t="inlineStr">
        <is>
          <t>再现步骤</t>
        </is>
      </c>
      <c r="I5" s="8" t="inlineStr">
        <is>
          <t>再现频度</t>
        </is>
      </c>
      <c r="J5" s="8" t="inlineStr">
        <is>
          <t>对应测试项目</t>
        </is>
      </c>
      <c r="K5" s="8" t="inlineStr">
        <is>
          <t>测试环境，测试对象的版本</t>
        </is>
      </c>
      <c r="L5" s="9" t="inlineStr">
        <is>
          <t>开发G
Bug确认</t>
        </is>
      </c>
      <c r="M5" s="9" t="inlineStr">
        <is>
          <t>bug原因</t>
        </is>
      </c>
      <c r="N5" s="9" t="inlineStr">
        <is>
          <t>修改处理</t>
        </is>
      </c>
      <c r="O5" s="36" t="inlineStr">
        <is>
          <t>回答者</t>
        </is>
      </c>
      <c r="P5" s="36" t="inlineStr">
        <is>
          <t>回答日</t>
        </is>
      </c>
      <c r="Q5" s="8" t="inlineStr">
        <is>
          <t>测试G
确认者</t>
        </is>
      </c>
      <c r="R5" s="37" t="inlineStr">
        <is>
          <t>测试G
确认日</t>
        </is>
      </c>
      <c r="S5" s="12" t="inlineStr">
        <is>
          <t>备考</t>
        </is>
      </c>
    </row>
    <row r="6" ht="60" customHeight="1">
      <c r="A6" s="38" t="n">
        <v>1</v>
      </c>
      <c r="B6" s="38" t="inlineStr">
        <is>
          <t>已关闭</t>
        </is>
      </c>
      <c r="C6" s="39" t="inlineStr">
        <is>
          <t>李艺涵</t>
        </is>
      </c>
      <c r="D6" s="39" t="inlineStr">
        <is>
          <t>2026-06-15</t>
        </is>
      </c>
      <c r="E6" s="39" t="inlineStr">
        <is>
          <t>并发/骑手</t>
        </is>
      </c>
      <c r="F6" s="40" t="inlineStr">
        <is>
          <t>高</t>
        </is>
      </c>
      <c r="G6" s="40" t="inlineStr">
        <is>
          <t>期待结果：
并发抢单时，多个骑手同时请求同一订单，仅一个骑手抢单成功，返回 200；其余骑手返回 409 Conflict。
问题点：
当前实现未使用数据库行锁或原子条件更新，在并发场景下可能出现双骑手同时抢单成功（竞态条件）。</t>
        </is>
      </c>
      <c r="H6" s="40" t="inlineStr">
        <is>
          <t>发生条件：
1 个待配送订单 + 2 个空闲骑手账号
步骤：
1. 使用顾客账号下单，商家接单后进入待配送状态
2. 使用 asyncio.gather() 并发调用两个骑手的抢单接口
3. 检查两个请求的返回结果及订单的骑手 ID</t>
        </is>
      </c>
      <c r="I6" s="39" t="inlineStr">
        <is>
          <t>必现（并发条件下）</t>
        </is>
      </c>
      <c r="J6" s="39" t="inlineStr">
        <is>
          <t>FT-011</t>
        </is>
      </c>
      <c r="K6" s="39" t="inlineStr">
        <is>
          <t>Windows / FastAPI TestClient / SQLite</t>
        </is>
      </c>
      <c r="L6" s="41" t="inlineStr">
        <is>
          <t>确认为缺陷</t>
        </is>
      </c>
      <c r="M6" s="42" t="inlineStr">
        <is>
          <t>抢单逻辑未使用数据库原子操作（如 UPDATE ... WHERE status=:old_status AND courier_id IS NULL）或 SELECT ... FOR UPDATE 行锁，导致并发请求同时读到旧状态并各自写入。</t>
        </is>
      </c>
      <c r="N6" s="42" t="inlineStr">
        <is>
          <t>采用 SQLAlchemy 原子条件更新：UPDATE orders SET courier_id=:cid, status='delivering' WHERE id=:oid AND status='pending_delivery' AND courier_id IS NULL，通过 rowcount 判断是否抢单成功。</t>
        </is>
      </c>
      <c r="O6" s="42" t="inlineStr">
        <is>
          <t>后端开发</t>
        </is>
      </c>
      <c r="P6" s="42" t="inlineStr">
        <is>
          <t>2026-06-16</t>
        </is>
      </c>
      <c r="Q6" s="40" t="inlineStr">
        <is>
          <t>李艺涵</t>
        </is>
      </c>
      <c r="R6" s="40" t="inlineStr">
        <is>
          <t>2026-06-17</t>
        </is>
      </c>
      <c r="S6" s="40" t="inlineStr">
        <is>
          <t>修复后 FT-011 回归通过。commit 956d9b0</t>
        </is>
      </c>
    </row>
    <row r="7" ht="60" customHeight="1">
      <c r="A7" s="38" t="n">
        <v>2</v>
      </c>
      <c r="B7" s="38" t="inlineStr">
        <is>
          <t>已关闭</t>
        </is>
      </c>
      <c r="C7" s="39" t="inlineStr">
        <is>
          <t>李艺涵</t>
        </is>
      </c>
      <c r="D7" s="39" t="inlineStr">
        <is>
          <t>2026-06-15</t>
        </is>
      </c>
      <c r="E7" s="39" t="inlineStr">
        <is>
          <t>环境/认证</t>
        </is>
      </c>
      <c r="F7" s="40" t="inlineStr">
        <is>
          <t>高</t>
        </is>
      </c>
      <c r="G7" s="40" t="inlineStr">
        <is>
          <t>期待结果：
从干净环境按 requirements.txt 安装依赖后，注册和登录功能正常可用，返回 JWT Token。
问题点：
requirements.txt 中 bcrypt 未固定版本，最新 bcrypt 4.x 的 API 变更导致 passlib 的 bcrypt 后端无法正常工作，注册和登录均抛出异常。</t>
        </is>
      </c>
      <c r="H7" s="40" t="inlineStr">
        <is>
          <t>发生条件：
全新 Python 3.10+ 虚拟环境，按原始 requirements.txt 安装
步骤：
1. 创建干净虚拟环境，pip install -r requirements.txt
2. 启动后端服务
3. 调用 POST /api/auth/register 注册任意账号
4. 调用 POST /api/auth/login 登录</t>
        </is>
      </c>
      <c r="I7" s="39" t="inlineStr">
        <is>
          <t>必现（使用 bcrypt&gt;=4.0 时）</t>
        </is>
      </c>
      <c r="J7" s="39" t="inlineStr">
        <is>
          <t>FT-015</t>
        </is>
      </c>
      <c r="K7" s="39" t="inlineStr">
        <is>
          <t>Windows / Python 3.10+ / 干净虚拟环境</t>
        </is>
      </c>
      <c r="L7" s="41" t="inlineStr">
        <is>
          <t>确认为缺陷</t>
        </is>
      </c>
      <c r="M7" s="42" t="inlineStr">
        <is>
          <t>bcrypt 4.x 版本中移除了旧版 API（__about__ 模块），passlib 1.7.4 的 bcrypt 后端依赖该 API 导致 ImportError/ValueError。</t>
        </is>
      </c>
      <c r="N7" s="42" t="inlineStr">
        <is>
          <t>在 requirements.txt 中固定 bcrypt==3.2.2，同时添加 passlib[bcrypt]==1.7.4 显式声明；后续可考虑迁移至 passlib 替代方案。</t>
        </is>
      </c>
      <c r="O7" s="42" t="inlineStr">
        <is>
          <t>后端开发</t>
        </is>
      </c>
      <c r="P7" s="42" t="inlineStr">
        <is>
          <t>2026-06-16</t>
        </is>
      </c>
      <c r="Q7" s="40" t="inlineStr">
        <is>
          <t>李艺涵</t>
        </is>
      </c>
      <c r="R7" s="40" t="inlineStr">
        <is>
          <t>2026-06-17</t>
        </is>
      </c>
      <c r="S7" s="40" t="inlineStr">
        <is>
          <t>修复后 FT-015 回归通过。commit 956d9b0</t>
        </is>
      </c>
    </row>
    <row r="8" ht="60" customHeight="1">
      <c r="A8" s="43" t="n">
        <v>3</v>
      </c>
      <c r="B8" s="44" t="n"/>
      <c r="C8" s="45" t="n"/>
      <c r="D8" s="45" t="n"/>
      <c r="E8" s="45" t="n"/>
      <c r="F8" s="46" t="n"/>
      <c r="G8" s="46" t="inlineStr">
        <is>
          <t xml:space="preserve">期待结果：
问题点：
</t>
        </is>
      </c>
      <c r="H8" s="46" t="inlineStr">
        <is>
          <t xml:space="preserve">发生条件：
步骤：
</t>
        </is>
      </c>
      <c r="I8" s="45" t="n"/>
      <c r="J8" s="45" t="n"/>
      <c r="K8" s="45" t="n"/>
      <c r="L8" s="47" t="n"/>
      <c r="M8" s="48" t="n"/>
      <c r="N8" s="48" t="n"/>
      <c r="O8" s="48" t="n"/>
      <c r="P8" s="48" t="n"/>
      <c r="Q8" s="46" t="n"/>
      <c r="R8" s="46" t="n"/>
      <c r="S8" s="46" t="n"/>
    </row>
    <row r="9" ht="60" customHeight="1">
      <c r="A9" s="43" t="n">
        <v>4</v>
      </c>
      <c r="B9" s="44" t="n"/>
      <c r="C9" s="45" t="n"/>
      <c r="D9" s="45" t="n"/>
      <c r="E9" s="45" t="n"/>
      <c r="F9" s="46" t="n"/>
      <c r="G9" s="46" t="inlineStr">
        <is>
          <t xml:space="preserve">期待结果：
问题点：
</t>
        </is>
      </c>
      <c r="H9" s="46" t="inlineStr">
        <is>
          <t xml:space="preserve">发生条件：
步骤：
</t>
        </is>
      </c>
      <c r="I9" s="45" t="n"/>
      <c r="J9" s="45" t="n"/>
      <c r="K9" s="45" t="n"/>
      <c r="L9" s="47" t="n"/>
      <c r="M9" s="48" t="n"/>
      <c r="N9" s="48" t="n"/>
      <c r="O9" s="48" t="n"/>
      <c r="P9" s="48" t="n"/>
      <c r="Q9" s="46" t="n"/>
      <c r="R9" s="46" t="n"/>
      <c r="S9" s="46" t="n"/>
    </row>
    <row r="10" ht="60" customHeight="1">
      <c r="A10" s="43" t="n">
        <v>5</v>
      </c>
      <c r="B10" s="44" t="n"/>
      <c r="C10" s="45" t="n"/>
      <c r="D10" s="45" t="n"/>
      <c r="E10" s="45" t="n"/>
      <c r="F10" s="46" t="n"/>
      <c r="G10" s="46" t="inlineStr">
        <is>
          <t xml:space="preserve">期待结果：
问题点：
</t>
        </is>
      </c>
      <c r="H10" s="46" t="inlineStr">
        <is>
          <t xml:space="preserve">发生条件：
步骤：
</t>
        </is>
      </c>
      <c r="I10" s="45" t="n"/>
      <c r="J10" s="45" t="n"/>
      <c r="K10" s="45" t="n"/>
      <c r="L10" s="47" t="n"/>
      <c r="M10" s="48" t="n"/>
      <c r="N10" s="48" t="n"/>
      <c r="O10" s="48" t="n"/>
      <c r="P10" s="48" t="n"/>
      <c r="Q10" s="46" t="n"/>
      <c r="R10" s="46" t="n"/>
      <c r="S10" s="46" t="n"/>
    </row>
    <row r="11" ht="60" customHeight="1">
      <c r="A11" s="43" t="n">
        <v>6</v>
      </c>
      <c r="B11" s="44" t="n"/>
      <c r="C11" s="45" t="n"/>
      <c r="D11" s="45" t="n"/>
      <c r="E11" s="45" t="n"/>
      <c r="F11" s="46" t="n"/>
      <c r="G11" s="46" t="inlineStr">
        <is>
          <t xml:space="preserve">期待结果：
问题点：
</t>
        </is>
      </c>
      <c r="H11" s="46" t="inlineStr">
        <is>
          <t xml:space="preserve">发生条件：
步骤：
</t>
        </is>
      </c>
      <c r="I11" s="45" t="n"/>
      <c r="J11" s="45" t="n"/>
      <c r="K11" s="45" t="n"/>
      <c r="L11" s="47" t="n"/>
      <c r="M11" s="48" t="n"/>
      <c r="N11" s="48" t="n"/>
      <c r="O11" s="48" t="n"/>
      <c r="P11" s="48" t="n"/>
      <c r="Q11" s="46" t="n"/>
      <c r="R11" s="46" t="n"/>
      <c r="S11" s="46" t="n"/>
    </row>
    <row r="12" ht="60" customHeight="1">
      <c r="A12" s="43" t="n">
        <v>7</v>
      </c>
      <c r="B12" s="44" t="n"/>
      <c r="C12" s="45" t="n"/>
      <c r="D12" s="45" t="n"/>
      <c r="E12" s="45" t="n"/>
      <c r="F12" s="46" t="n"/>
      <c r="G12" s="46" t="inlineStr">
        <is>
          <t xml:space="preserve">期待结果：
问题点：
</t>
        </is>
      </c>
      <c r="H12" s="46" t="inlineStr">
        <is>
          <t xml:space="preserve">发生条件：
步骤：
</t>
        </is>
      </c>
      <c r="I12" s="45" t="n"/>
      <c r="J12" s="45" t="n"/>
      <c r="K12" s="45" t="n"/>
      <c r="L12" s="47" t="n"/>
      <c r="M12" s="48" t="n"/>
      <c r="N12" s="48" t="n"/>
      <c r="O12" s="48" t="n"/>
      <c r="P12" s="48" t="n"/>
      <c r="Q12" s="46" t="n"/>
      <c r="R12" s="46" t="n"/>
      <c r="S12" s="46" t="n"/>
    </row>
  </sheetData>
  <mergeCells count="7">
    <mergeCell ref="L4:P4"/>
    <mergeCell ref="A4:K4"/>
    <mergeCell ref="E2:F2"/>
    <mergeCell ref="A1:S1"/>
    <mergeCell ref="A3:S3"/>
    <mergeCell ref="A2:D2"/>
    <mergeCell ref="Q4:R4"/>
  </mergeCells>
  <conditionalFormatting sqref="C6:L12 C7:O12 M6:O6 Q6:R12">
    <cfRule type="expression" priority="8" dxfId="0" stopIfTrue="1">
      <formula>IF($A6&lt;&gt;"",IF(C6="",TRUE,FALSE),FALSE)</formula>
    </cfRule>
  </conditionalFormatting>
  <conditionalFormatting sqref="M6:M12 M9:P10 M12:P12 N7:N12 O6:P12">
    <cfRule type="expression" priority="6" dxfId="0" stopIfTrue="1">
      <formula>IF($L6="バグ",IF(M6="",TRUE,FALSE),FALSE)</formula>
    </cfRule>
    <cfRule type="expression" priority="7" dxfId="5" stopIfTrue="1">
      <formula>IF($L6="Yes",FALSE,IF(M6&lt;&gt;"",TRUE,FALSE))</formula>
    </cfRule>
  </conditionalFormatting>
  <conditionalFormatting sqref="N7:N12">
    <cfRule type="expression" priority="5" dxfId="0" stopIfTrue="1">
      <formula>IF($A7&lt;&gt;"",IF(N7="",TRUE,FALSE),FALSE)</formula>
    </cfRule>
  </conditionalFormatting>
  <conditionalFormatting sqref="N9">
    <cfRule type="expression" priority="4" dxfId="0" stopIfTrue="1">
      <formula>IF($A9&lt;&gt;"",IF(N9="",TRUE,FALSE),FALSE)</formula>
    </cfRule>
  </conditionalFormatting>
  <conditionalFormatting sqref="N11">
    <cfRule type="expression" priority="3" dxfId="0" stopIfTrue="1">
      <formula>IF($A11&lt;&gt;"",IF(N11="",TRUE,FALSE),FALSE)</formula>
    </cfRule>
  </conditionalFormatting>
  <conditionalFormatting sqref="P6">
    <cfRule type="expression" priority="2" dxfId="0" stopIfTrue="1">
      <formula>IF($A6&lt;&gt;"",IF(P6="",TRUE,FALSE),FALSE)</formula>
    </cfRule>
  </conditionalFormatting>
  <conditionalFormatting sqref="P7:P12">
    <cfRule type="expression" priority="1" dxfId="0" stopIfTrue="1">
      <formula>IF($A7&lt;&gt;"",IF(P7="",TRUE,FALSE),FALSE)</formula>
    </cfRule>
  </conditionalFormatting>
  <dataValidations count="6">
    <dataValidation sqref="Q6:Q12" showDropDown="0" showInputMessage="1" showErrorMessage="1" allowBlank="1" type="list">
      <formula1>リーダ</formula1>
    </dataValidation>
    <dataValidation sqref="G6:H12" showDropDown="0" showInputMessage="1" showErrorMessage="1" allowBlank="1" type="list">
      <formula1>影響度</formula1>
    </dataValidation>
    <dataValidation sqref="B6:B12" showDropDown="0" showInputMessage="1" showErrorMessage="1" allowBlank="1" type="list">
      <formula1>"ACTIVE,CLOSED"</formula1>
    </dataValidation>
    <dataValidation sqref="L6:L12" showDropDown="0" showInputMessage="1" showErrorMessage="1" allowBlank="1" type="list">
      <formula1>"改善事项,bug,不是问题"</formula1>
    </dataValidation>
    <dataValidation sqref="I6:I12" showDropDown="0" showInputMessage="1" showErrorMessage="1" allowBlank="1" type="list">
      <formula1>"每次,偶尔,一次"</formula1>
    </dataValidation>
    <dataValidation sqref="F6:F12" showDropDown="0" showInputMessage="1" showErrorMessage="1" allowBlank="1" type="list">
      <formula1>"高,中,底"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2026-06-16T17:44:08Z</dcterms:modified>
</cp:coreProperties>
</file>